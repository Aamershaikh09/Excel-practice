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89d7f35223a6138/Desktop/Data Analytics/Excel-practice/"/>
    </mc:Choice>
  </mc:AlternateContent>
  <xr:revisionPtr revIDLastSave="0" documentId="8_{ED8F3397-A1BA-42B9-838C-F25574F88776}" xr6:coauthVersionLast="47" xr6:coauthVersionMax="47" xr10:uidLastSave="{00000000-0000-0000-0000-000000000000}"/>
  <bookViews>
    <workbookView xWindow="11424" yWindow="0" windowWidth="11712" windowHeight="12336" xr2:uid="{AD9D253A-06FE-42CD-BC84-CC38115B8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/>
  <c r="F16" i="1"/>
  <c r="F11" i="1"/>
  <c r="F12" i="1"/>
  <c r="F13" i="1"/>
  <c r="F14" i="1"/>
  <c r="F10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<sst xmlns="http://schemas.openxmlformats.org/spreadsheetml/2006/main" count="18" uniqueCount="18">
  <si>
    <t>Sr No.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</si>
  <si>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</si>
  <si>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</si>
  <si>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</si>
  <si>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</si>
  <si>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</si>
  <si>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</si>
  <si>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</si>
  <si>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</si>
  <si>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</si>
  <si>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</si>
  <si>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</si>
  <si>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</si>
  <si>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</si>
  <si>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</si>
  <si>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</si>
  <si>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Age</t>
  </si>
  <si>
    <t>Can_vote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</si>
</sst>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9B2-FB07-4830-9D4A-4C77A9186D03}">
  <dimension ref="A1:K16"/>
  <sheetViews>
    <sheetView tabSelected="1" topLeftCell="B1" zoomScale="115" zoomScaleNormal="115" workbookViewId="0">
      <selection activeCell="D11" sqref="D11"/>
    </sheetView>
  </sheetViews>
  <sheetFormatPr defaultRowHeight="14.4" x14ac:dyDescent="0.3"/>
  <cols>
    <col min="1" max="1" width="9.88671875" customWidth="1"/>
    <col min="2" max="2" width="14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>
        <v>1</v>
      </c>
      <c r="B2" t="s">
        <v>6</v>
      </c>
      <c r="C2" s="1">
        <v>50</v>
      </c>
      <c r="D2" s="1">
        <v>82</v>
      </c>
      <c r="E2" s="1">
        <v>65</v>
      </c>
      <c r="F2">
        <f>SUM(C2:E2)</f>
        <v>197</v>
      </c>
      <c r="G2">
        <f>MAX(C2:E2)</f>
        <v>82</v>
      </c>
      <c r="H2">
        <f>MIN(C2:E2)</f>
        <v>50</v>
      </c>
      <c r="I2" s="2">
        <f>AVERAGE(C2:E2)</f>
        <v>65.666666666666671</v>
      </c>
      <c r="J2" s="2">
        <f>F2/300*100</f>
        <v>65.666666666666657</v>
      </c>
      <c r="K2" t="str">
        <f>IF(J2&gt;=35,"pass","fail")</f>
        <v>pass</v>
      </c>
    </row>
    <row r="3" spans="1:11" x14ac:dyDescent="0.3">
      <c r="A3">
        <v>2</v>
      </c>
      <c r="B3" t="s">
        <v>7</v>
      </c>
      <c r="C3" s="1">
        <v>36</v>
      </c>
      <c r="D3" s="1">
        <v>42</v>
      </c>
      <c r="E3" s="1">
        <v>20</v>
      </c>
      <c r="F3">
        <f t="shared" ref="F3:F4" si="0">SUM(C3:E3)</f>
        <v>98</v>
      </c>
      <c r="G3">
        <f t="shared" ref="G3:G6" si="1">MAX(C3:E3)</f>
        <v>42</v>
      </c>
      <c r="H3">
        <f t="shared" ref="H3:H6" si="2">MIN(C3:E3)</f>
        <v>20</v>
      </c>
      <c r="I3" s="2">
        <f t="shared" ref="I3:I6" si="3">AVERAGE(C3:E3)</f>
        <v>32.666666666666664</v>
      </c>
      <c r="J3" s="2">
        <f t="shared" ref="J3:J6" si="4">F3/300*100</f>
        <v>32.666666666666664</v>
      </c>
      <c r="K3" t="str">
        <f t="shared" ref="K3:K6" si="5">IF(J3&gt;=35,"pass","fail")</f>
        <v>fail</v>
      </c>
    </row>
    <row r="4" spans="1:11" x14ac:dyDescent="0.3">
      <c r="A4">
        <v>3</v>
      </c>
      <c r="B4" t="s">
        <v>8</v>
      </c>
      <c r="C4" s="1">
        <v>70</v>
      </c>
      <c r="D4" s="1">
        <v>32</v>
      </c>
      <c r="E4" s="1">
        <v>80</v>
      </c>
      <c r="F4">
        <f t="shared" si="0"/>
        <v>182</v>
      </c>
      <c r="G4">
        <f t="shared" si="1"/>
        <v>80</v>
      </c>
      <c r="H4">
        <f t="shared" si="2"/>
        <v>32</v>
      </c>
      <c r="I4" s="2">
        <f t="shared" si="3"/>
        <v>60.666666666666664</v>
      </c>
      <c r="J4" s="2">
        <f t="shared" si="4"/>
        <v>60.666666666666671</v>
      </c>
      <c r="K4" t="str">
        <f t="shared" si="5"/>
        <v>pass</v>
      </c>
    </row>
    <row r="5" spans="1:11" x14ac:dyDescent="0.3">
      <c r="A5">
        <v>4</v>
      </c>
      <c r="B5" t="s">
        <v>9</v>
      </c>
      <c r="C5" s="1">
        <v>20</v>
      </c>
      <c r="D5" s="1">
        <v>55</v>
      </c>
      <c r="E5" s="1">
        <v>73</v>
      </c>
      <c r="F5">
        <f>SUM(C5:E5)</f>
        <v>148</v>
      </c>
      <c r="G5">
        <f t="shared" si="1"/>
        <v>73</v>
      </c>
      <c r="H5">
        <f t="shared" si="2"/>
        <v>20</v>
      </c>
      <c r="I5" s="2">
        <f t="shared" si="3"/>
        <v>49.333333333333336</v>
      </c>
      <c r="J5" s="2">
        <f t="shared" si="4"/>
        <v>49.333333333333336</v>
      </c>
      <c r="K5" t="str">
        <f t="shared" si="5"/>
        <v>pass</v>
      </c>
    </row>
    <row r="6" spans="1:11" x14ac:dyDescent="0.3">
      <c r="A6">
        <v>5</v>
      </c>
      <c r="B6" t="s">
        <v>10</v>
      </c>
      <c r="C6" s="1">
        <v>28</v>
      </c>
      <c r="D6" s="1">
        <v>88</v>
      </c>
      <c r="E6" s="1">
        <v>87</v>
      </c>
      <c r="F6">
        <f>SUM(C6:E6)</f>
        <v>203</v>
      </c>
      <c r="G6">
        <f t="shared" si="1"/>
        <v>88</v>
      </c>
      <c r="H6">
        <f t="shared" si="2"/>
        <v>28</v>
      </c>
      <c r="I6" s="2">
        <f t="shared" si="3"/>
        <v>67.666666666666671</v>
      </c>
      <c r="J6" s="2">
        <f t="shared" si="4"/>
        <v>67.666666666666657</v>
      </c>
      <c r="K6" t="str">
        <f t="shared" si="5"/>
        <v>pass</v>
      </c>
    </row>
    <row r="7" spans="1:11" x14ac:dyDescent="0.3">
      <c r="C7" s="1"/>
      <c r="I7" s="2"/>
    </row>
    <row r="8" spans="1:11" x14ac:dyDescent="0.3">
      <c r="C8" s="1">
        <f>COUNT(C2:C7)</f>
        <v>5</v>
      </c>
    </row>
    <row r="9" spans="1:11" x14ac:dyDescent="0.3">
      <c r="E9" t="s">
        <v>16</v>
      </c>
      <c r="F9" t="s">
        <v>17</v>
      </c>
    </row>
    <row r="10" spans="1:11" x14ac:dyDescent="0.3">
      <c r="E10">
        <v>18</v>
      </c>
      <c r="F10" t="str">
        <f>IF(E10&gt;=18,"yes","no")</f>
        <v>yes</v>
      </c>
    </row>
    <row r="11" spans="1:11" x14ac:dyDescent="0.3">
      <c r="E11">
        <v>25</v>
      </c>
      <c r="F11" t="str">
        <f t="shared" ref="F11:F14" si="6">IF(E11&gt;=18,"yes","no")</f>
        <v>yes</v>
      </c>
    </row>
    <row r="12" spans="1:11" x14ac:dyDescent="0.3">
      <c r="E12">
        <v>16</v>
      </c>
      <c r="F12" t="str">
        <f t="shared" si="6"/>
        <v>no</v>
      </c>
    </row>
    <row r="13" spans="1:11" x14ac:dyDescent="0.3">
      <c r="E13">
        <v>110</v>
      </c>
      <c r="F13" t="str">
        <f t="shared" si="6"/>
        <v>yes</v>
      </c>
    </row>
    <row r="14" spans="1:11" x14ac:dyDescent="0.3">
      <c r="E14">
        <v>65</v>
      </c>
      <c r="F14" t="str">
        <f t="shared" si="6"/>
        <v>yes</v>
      </c>
    </row>
    <row r="16" spans="1:11" x14ac:dyDescent="0.3">
      <c r="F16">
        <f>SUM(C2:C6)</f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Aamer Shaikh</cp:lastModifiedBy>
  <dcterms:created xsi:type="dcterms:W3CDTF">2026-04-30T07:29:33Z</dcterms:created>
  <dcterms:modified xsi:type="dcterms:W3CDTF">2026-06-16T15:30:14Z</dcterms:modified>
</cp:coreProperties>
</file>