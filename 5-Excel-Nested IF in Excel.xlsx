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mer_PC\Downloads\"/>
    </mc:Choice>
  </mc:AlternateContent>
  <xr:revisionPtr revIDLastSave="0" documentId="13_ncr:1_{53B33910-258E-421A-B4F9-0B5E298C3DC0}" xr6:coauthVersionLast="47" xr6:coauthVersionMax="47" xr10:uidLastSave="{00000000-0000-0000-0000-000000000000}"/>
  <bookViews>
    <workbookView xWindow="11424" yWindow="0" windowWidth="11712" windowHeight="12336" activeTab="3" xr2:uid="{AD9D253A-06FE-42CD-BC84-CC38115B837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 a="1"/>
  <c r="D3" i="4" s="1"/>
  <c r="D4" i="4" a="1"/>
  <c r="D4" i="4" s="1"/>
  <c r="D5" i="4" a="1"/>
  <c r="D5" i="4" s="1"/>
  <c r="D6" i="4" a="1"/>
  <c r="D6" i="4" s="1"/>
  <c r="D7" i="4" a="1"/>
  <c r="D7" i="4" s="1"/>
  <c r="D2" i="4" a="1"/>
  <c r="D2" i="4"/>
  <c r="D3" i="3" a="1"/>
  <c r="D3" i="3" s="1"/>
  <c r="D4" i="3" a="1"/>
  <c r="D4" i="3"/>
  <c r="D5" i="3" a="1"/>
  <c r="D5" i="3" s="1"/>
  <c r="D6" i="3" a="1"/>
  <c r="D6" i="3"/>
  <c r="D7" i="3" a="1"/>
  <c r="D7" i="3"/>
  <c r="D2" i="3" a="1"/>
  <c r="D2" i="3" s="1"/>
  <c r="I3" i="1"/>
  <c r="I4" i="1"/>
  <c r="I5" i="1"/>
  <c r="I6" i="1"/>
  <c r="I2" i="1"/>
  <c r="H3" i="1"/>
  <c r="H4" i="1"/>
  <c r="H5" i="1"/>
  <c r="H6" i="1"/>
  <c r="H2" i="1"/>
  <c r="G3" i="1" a="1"/>
  <c r="G3" i="1"/>
  <c r="G4" i="1" a="1"/>
  <c r="G4" i="1" s="1"/>
  <c r="G5" i="1" a="1"/>
  <c r="G5" i="1" s="1"/>
  <c r="G6" i="1" a="1"/>
  <c r="G6" i="1"/>
  <c r="G2" i="1" a="1"/>
  <c r="G2" i="1" s="1"/>
  <c r="F3" i="1"/>
  <c r="F4" i="1"/>
  <c r="F5" i="1"/>
  <c r="F6" i="1"/>
  <c r="F2" i="1"/>
  <c r="F3" i="2"/>
  <c r="F4" i="2"/>
  <c r="F5" i="2"/>
  <c r="F6" i="2"/>
  <c r="F2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<sst xmlns="http://schemas.openxmlformats.org/spreadsheetml/2006/main" count="57" uniqueCount="38">
  <si>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</si>
  <si>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</si>
  <si>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</si>
  <si>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</si>
  <si>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</si>
  <si>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</si>
  <si>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</si>
  <si>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</si>
  <si>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</si>
  <si>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</si>
  <si>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</si>
  <si>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Sr No</t>
  </si>
  <si>
    <t>Emp</t>
  </si>
  <si>
    <t>Days</t>
  </si>
  <si>
    <t>Promotion: Yes/No</t>
  </si>
  <si>
    <t>Performance/10</t>
  </si>
  <si>
    <t>Customer</t>
  </si>
  <si>
    <t>Quantity Order</t>
  </si>
  <si>
    <t>Conditions</t>
  </si>
  <si>
    <t>Discount%</t>
  </si>
  <si>
    <t>Greater than equal to 5</t>
  </si>
  <si>
    <t>Greater than equal to 10</t>
  </si>
  <si>
    <t>Lessn than 5</t>
  </si>
  <si>
    <t>Anil</t>
  </si>
  <si>
    <t>Vikas</t>
  </si>
  <si>
    <t>Sachin</t>
  </si>
  <si>
    <t>Vijay</t>
  </si>
  <si>
    <t>Virat</t>
  </si>
  <si>
    <t>Snehal</t>
  </si>
  <si>
    <t>%Age</t>
  </si>
  <si>
    <t>Pass</t>
  </si>
  <si>
    <t>Fail</t>
  </si>
  <si>
    <t>A++</t>
  </si>
  <si>
    <t>A+</t>
  </si>
  <si>
    <t>Only Grade</t>
  </si>
  <si>
    <t>Grade with Result Condition</t>
  </si>
  <si>
    <t>Rating</t>
  </si>
  <si>
    <t>Staus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</si>
</sst>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I13"/>
  <sheetViews>
    <sheetView topLeftCell="B1" zoomScaleNormal="100" workbookViewId="0">
      <selection activeCell="I12" sqref="I12"/>
    </sheetView>
  </sheetViews>
  <sheetFormatPr defaultRowHeight="14.4" x14ac:dyDescent="0.3"/>
  <cols>
    <col min="1" max="1" width="9.88671875" customWidth="1"/>
    <col min="2" max="2" width="14.44140625" bestFit="1" customWidth="1"/>
    <col min="6" max="6" width="10.5546875" bestFit="1" customWidth="1"/>
    <col min="7" max="7" width="13.21875" customWidth="1"/>
    <col min="8" max="8" width="13.109375" customWidth="1"/>
    <col min="9" max="9" width="23.44140625" bestFit="1" customWidth="1"/>
    <col min="11" max="11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29</v>
      </c>
      <c r="H1" t="s">
        <v>34</v>
      </c>
      <c r="I1" t="s">
        <v>35</v>
      </c>
    </row>
    <row r="2" spans="1:9" x14ac:dyDescent="0.3">
      <c r="A2">
        <v>1</v>
      </c>
      <c r="B2" t="s">
        <v>5</v>
      </c>
      <c r="C2" s="1">
        <v>95</v>
      </c>
      <c r="D2" s="1">
        <v>98</v>
      </c>
      <c r="E2" s="1">
        <v>90</v>
      </c>
      <c r="F2" t="str">
        <f>IF(AND(C2&gt;=35,D2&gt;=35,E2&gt;=35),"pass","fail")</f>
        <v>pass</v>
      </c>
      <c r="G2" s="4" cm="1">
        <f t="array" ref="G2">SUM(C2:E2/300*100)</f>
        <v>94.333333333333329</v>
      </c>
      <c r="H2" t="str">
        <f>IF(G2&gt;=90,"A++",IF(G2&gt;=75,"A+",IF(G2&gt;=60,"A",IF(G2&gt;=45,"B",IF(G2&gt;=35,"C","F")))))</f>
        <v>A++</v>
      </c>
      <c r="I2" t="str">
        <f>IF(F2="fail","fail",H2)</f>
        <v>A++</v>
      </c>
    </row>
    <row r="3" spans="1:9" x14ac:dyDescent="0.3">
      <c r="A3">
        <v>2</v>
      </c>
      <c r="B3" t="s">
        <v>6</v>
      </c>
      <c r="C3" s="1">
        <v>36</v>
      </c>
      <c r="D3" s="1">
        <v>42</v>
      </c>
      <c r="E3" s="1">
        <v>25</v>
      </c>
      <c r="F3" t="str">
        <f t="shared" ref="F3:F6" si="0">IF(AND(C3&gt;=35,D3&gt;=35,E3&gt;=35),"pass","fail")</f>
        <v>fail</v>
      </c>
      <c r="G3" s="4" cm="1">
        <f t="array" ref="G3">SUM(C3:E3/300*100)</f>
        <v>34.333333333333329</v>
      </c>
      <c r="H3" t="str">
        <f t="shared" ref="H3:H6" si="1">IF(G3&gt;=90,"A++",IF(G3&gt;=75,"A+",IF(G3&gt;=60,"A",IF(G3&gt;=45,"B",IF(G3&gt;=35,"C","F")))))</f>
        <v>F</v>
      </c>
      <c r="I3" t="str">
        <f t="shared" ref="I3:I6" si="2">IF(F3="fail","fail",H3)</f>
        <v>fail</v>
      </c>
    </row>
    <row r="4" spans="1:9" x14ac:dyDescent="0.3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s="4" cm="1">
        <f t="array" ref="G4">SUM(C4:E4/300*100)</f>
        <v>71.666666666666671</v>
      </c>
      <c r="H4" t="str">
        <f t="shared" si="1"/>
        <v>A</v>
      </c>
      <c r="I4" t="str">
        <f t="shared" si="2"/>
        <v>A</v>
      </c>
    </row>
    <row r="5" spans="1:9" x14ac:dyDescent="0.3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s="4" cm="1">
        <f t="array" ref="G5">SUM(C5:E5/300*100)</f>
        <v>54.333333333333336</v>
      </c>
      <c r="H5" t="str">
        <f t="shared" si="1"/>
        <v>B</v>
      </c>
      <c r="I5" t="str">
        <f t="shared" si="2"/>
        <v>B</v>
      </c>
    </row>
    <row r="6" spans="1:9" x14ac:dyDescent="0.3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s="4" cm="1">
        <f t="array" ref="G6">SUM(C6:E6/300*100)</f>
        <v>67.666666666666657</v>
      </c>
      <c r="H6" t="str">
        <f t="shared" si="1"/>
        <v>A</v>
      </c>
      <c r="I6" t="str">
        <f t="shared" si="2"/>
        <v>fail</v>
      </c>
    </row>
    <row r="7" spans="1:9" x14ac:dyDescent="0.3">
      <c r="C7" s="1"/>
    </row>
    <row r="8" spans="1:9" x14ac:dyDescent="0.3">
      <c r="C8" s="1"/>
    </row>
    <row r="9" spans="1:9" x14ac:dyDescent="0.3">
      <c r="D9" t="s">
        <v>30</v>
      </c>
      <c r="E9" t="s">
        <v>29</v>
      </c>
      <c r="F9">
        <v>90</v>
      </c>
      <c r="G9" t="s">
        <v>32</v>
      </c>
    </row>
    <row r="10" spans="1:9" x14ac:dyDescent="0.3">
      <c r="D10" t="s">
        <v>31</v>
      </c>
      <c r="E10" t="s">
        <v>31</v>
      </c>
      <c r="F10">
        <v>75</v>
      </c>
      <c r="G10" t="s">
        <v>33</v>
      </c>
    </row>
    <row r="11" spans="1:9" x14ac:dyDescent="0.3">
      <c r="F11">
        <v>60</v>
      </c>
      <c r="G11" t="s">
        <v>5</v>
      </c>
    </row>
    <row r="12" spans="1:9" x14ac:dyDescent="0.3">
      <c r="F12">
        <v>45</v>
      </c>
      <c r="G12" t="s">
        <v>6</v>
      </c>
    </row>
    <row r="13" spans="1:9" x14ac:dyDescent="0.3">
      <c r="F13">
        <v>35</v>
      </c>
      <c r="G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754-7E0D-4727-9D84-4838E7DC5F81}">
  <dimension ref="A1:F6"/>
  <sheetViews>
    <sheetView zoomScale="85" zoomScaleNormal="85" workbookViewId="0">
      <selection activeCell="E25" sqref="E25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16.21875" bestFit="1" customWidth="1"/>
  </cols>
  <sheetData>
    <row r="1" spans="1:6" x14ac:dyDescent="0.3">
      <c r="A1" t="s">
        <v>11</v>
      </c>
      <c r="B1" t="s">
        <v>12</v>
      </c>
      <c r="C1" s="2" t="s">
        <v>13</v>
      </c>
      <c r="D1" t="s">
        <v>15</v>
      </c>
      <c r="E1" t="s">
        <v>14</v>
      </c>
    </row>
    <row r="2" spans="1:6" x14ac:dyDescent="0.3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 x14ac:dyDescent="0.3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3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3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FDFE-08F3-4AFC-8957-A700528FCF4A}">
  <dimension ref="A1:H7"/>
  <sheetViews>
    <sheetView zoomScale="85" zoomScaleNormal="85" workbookViewId="0">
      <selection sqref="A1:B7"/>
    </sheetView>
  </sheetViews>
  <sheetFormatPr defaultRowHeight="14.4" x14ac:dyDescent="0.3"/>
  <cols>
    <col min="2" max="2" width="9.6640625" customWidth="1"/>
    <col min="3" max="3" width="13.21875" customWidth="1"/>
    <col min="4" max="4" width="9.77734375" bestFit="1" customWidth="1"/>
    <col min="7" max="7" width="22.77734375" customWidth="1"/>
  </cols>
  <sheetData>
    <row r="1" spans="1:8" x14ac:dyDescent="0.3">
      <c r="A1" t="s">
        <v>11</v>
      </c>
      <c r="B1" t="s">
        <v>16</v>
      </c>
      <c r="C1" t="s">
        <v>17</v>
      </c>
      <c r="D1" t="s">
        <v>19</v>
      </c>
      <c r="G1" t="s">
        <v>18</v>
      </c>
    </row>
    <row r="2" spans="1:8" x14ac:dyDescent="0.3">
      <c r="A2">
        <v>1</v>
      </c>
      <c r="B2" t="s">
        <v>23</v>
      </c>
      <c r="C2">
        <v>18</v>
      </c>
      <c r="D2" s="5" cm="1">
        <f t="array" ref="D2">_xlfn.IFS(C2&gt;=10,20%,C2&gt;=5,10%,C2&lt;5,0%)</f>
        <v>0.2</v>
      </c>
      <c r="G2" t="s">
        <v>21</v>
      </c>
      <c r="H2" s="3">
        <v>0.2</v>
      </c>
    </row>
    <row r="3" spans="1:8" x14ac:dyDescent="0.3">
      <c r="A3">
        <v>2</v>
      </c>
      <c r="B3" t="s">
        <v>24</v>
      </c>
      <c r="C3">
        <v>3</v>
      </c>
      <c r="D3" s="5" cm="1">
        <f t="array" ref="D3">_xlfn.IFS(C3&gt;=10,20%,C3&gt;=5,10%,C3&lt;5,0%)</f>
        <v>0</v>
      </c>
      <c r="G3" t="s">
        <v>20</v>
      </c>
      <c r="H3" s="3">
        <v>0.1</v>
      </c>
    </row>
    <row r="4" spans="1:8" x14ac:dyDescent="0.3">
      <c r="A4">
        <v>3</v>
      </c>
      <c r="B4" t="s">
        <v>25</v>
      </c>
      <c r="C4">
        <v>11</v>
      </c>
      <c r="D4" s="5" cm="1">
        <f t="array" ref="D4">_xlfn.IFS(C4&gt;=10,20%,C4&gt;=5,10%,C4&lt;5,0%)</f>
        <v>0.2</v>
      </c>
      <c r="G4" t="s">
        <v>22</v>
      </c>
      <c r="H4" s="3">
        <v>0</v>
      </c>
    </row>
    <row r="5" spans="1:8" x14ac:dyDescent="0.3">
      <c r="A5">
        <v>4</v>
      </c>
      <c r="B5" t="s">
        <v>26</v>
      </c>
      <c r="C5">
        <v>6</v>
      </c>
      <c r="D5" s="5" cm="1">
        <f t="array" ref="D5">_xlfn.IFS(C5&gt;=10,20%,C5&gt;=5,10%,C5&lt;5,0%)</f>
        <v>0.1</v>
      </c>
    </row>
    <row r="6" spans="1:8" x14ac:dyDescent="0.3">
      <c r="A6">
        <v>5</v>
      </c>
      <c r="B6" t="s">
        <v>27</v>
      </c>
      <c r="C6">
        <v>7</v>
      </c>
      <c r="D6" s="5" cm="1">
        <f t="array" ref="D6">_xlfn.IFS(C6&gt;=10,20%,C6&gt;=5,10%,C6&lt;5,0%)</f>
        <v>0.1</v>
      </c>
    </row>
    <row r="7" spans="1:8" x14ac:dyDescent="0.3">
      <c r="A7">
        <v>6</v>
      </c>
      <c r="B7" t="s">
        <v>28</v>
      </c>
      <c r="C7">
        <v>4</v>
      </c>
      <c r="D7" s="5" cm="1">
        <f t="array" ref="D7">_xlfn.IFS(C7&gt;=10,20%,C7&gt;=5,10%,C7&lt;5,0%)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660-D9B2-4B8C-9859-AFC200AF1AC0}">
  <dimension ref="A1:D7"/>
  <sheetViews>
    <sheetView tabSelected="1" zoomScale="130" zoomScaleNormal="130" workbookViewId="0">
      <selection activeCell="D12" sqref="D12"/>
    </sheetView>
  </sheetViews>
  <sheetFormatPr defaultRowHeight="14.4" x14ac:dyDescent="0.3"/>
  <sheetData>
    <row r="1" spans="1:4" x14ac:dyDescent="0.3">
      <c r="A1" t="s">
        <v>11</v>
      </c>
      <c r="B1" t="s">
        <v>16</v>
      </c>
      <c r="C1" t="s">
        <v>36</v>
      </c>
      <c r="D1" t="s">
        <v>37</v>
      </c>
    </row>
    <row r="2" spans="1:4" x14ac:dyDescent="0.3">
      <c r="A2">
        <v>1</v>
      </c>
      <c r="B2" t="s">
        <v>23</v>
      </c>
      <c r="C2">
        <v>5</v>
      </c>
      <c r="D2" t="str" cm="1">
        <f t="array" ref="D2">_xlfn.IFS(C2=5,"very good",C2=4,"good",C2&gt;=2,"avg",C2=1,"poor")</f>
        <v>very good</v>
      </c>
    </row>
    <row r="3" spans="1:4" x14ac:dyDescent="0.3">
      <c r="A3">
        <v>2</v>
      </c>
      <c r="B3" t="s">
        <v>24</v>
      </c>
      <c r="C3">
        <v>2</v>
      </c>
      <c r="D3" t="str" cm="1">
        <f t="array" ref="D3">_xlfn.IFS(C3=5,"very good",C3=4,"good",C3&gt;=2,"avg",C3=1,"poor")</f>
        <v>avg</v>
      </c>
    </row>
    <row r="4" spans="1:4" x14ac:dyDescent="0.3">
      <c r="A4">
        <v>3</v>
      </c>
      <c r="B4" t="s">
        <v>25</v>
      </c>
      <c r="C4">
        <v>3</v>
      </c>
      <c r="D4" t="str" cm="1">
        <f t="array" ref="D4">_xlfn.IFS(C4=5,"very good",C4=4,"good",C4&gt;=2,"avg",C4=1,"poor")</f>
        <v>avg</v>
      </c>
    </row>
    <row r="5" spans="1:4" x14ac:dyDescent="0.3">
      <c r="A5">
        <v>4</v>
      </c>
      <c r="B5" t="s">
        <v>26</v>
      </c>
      <c r="C5">
        <v>4</v>
      </c>
      <c r="D5" t="str" cm="1">
        <f t="array" ref="D5">_xlfn.IFS(C5=5,"very good",C5=4,"good",C5&gt;=2,"avg",C5=1,"poor")</f>
        <v>good</v>
      </c>
    </row>
    <row r="6" spans="1:4" x14ac:dyDescent="0.3">
      <c r="A6">
        <v>5</v>
      </c>
      <c r="B6" t="s">
        <v>27</v>
      </c>
      <c r="C6">
        <v>5</v>
      </c>
      <c r="D6" t="str" cm="1">
        <f t="array" ref="D6">_xlfn.IFS(C6=5,"very good",C6=4,"good",C6&gt;=2,"avg",C6=1,"poor")</f>
        <v>very good</v>
      </c>
    </row>
    <row r="7" spans="1:4" x14ac:dyDescent="0.3">
      <c r="A7">
        <v>6</v>
      </c>
      <c r="B7" t="s">
        <v>28</v>
      </c>
      <c r="C7">
        <v>1</v>
      </c>
      <c r="D7" t="str" cm="1">
        <f t="array" ref="D7">_xlfn.IFS(C7=5,"very good",C7=4,"good",C7&gt;=2,"avg",C7=1,"poor")</f>
        <v>poor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Aamer Shaikh</cp:lastModifiedBy>
  <dcterms:created xsi:type="dcterms:W3CDTF">2026-04-30T07:29:33Z</dcterms:created>
  <dcterms:modified xsi:type="dcterms:W3CDTF">2026-06-22T04:10:10Z</dcterms:modified>
</cp:coreProperties>
</file>